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components" sheetId="1" r:id="rId5"/>
  </sheets>
  <definedNames/>
  <calcPr/>
</workbook>
</file>

<file path=xl/sharedStrings.xml><?xml version="1.0" encoding="utf-8"?>
<sst xmlns="http://schemas.openxmlformats.org/spreadsheetml/2006/main" count="47" uniqueCount="47">
  <si>
    <t>Main components</t>
  </si>
  <si>
    <t>Team Name : Ride Shield</t>
  </si>
  <si>
    <t>#</t>
  </si>
  <si>
    <t>Item</t>
  </si>
  <si>
    <t>Purpose</t>
  </si>
  <si>
    <t>Shop / product link</t>
  </si>
  <si>
    <t>Listed price</t>
  </si>
  <si>
    <t>Qty</t>
  </si>
  <si>
    <t>Total</t>
  </si>
  <si>
    <t xml:space="preserve">ESP32-S3 N16R8 — </t>
  </si>
  <si>
    <t>Main controller</t>
  </si>
  <si>
    <t>ESP32-S3-CAM — Duino ESP32S3 Sense camera-board alternative</t>
  </si>
  <si>
    <t>Blind spot and road view cameras; check camera compatibility and quantity of 2.</t>
  </si>
  <si>
    <t>MPU6050</t>
  </si>
  <si>
    <t>Head motion and crash detection</t>
  </si>
  <si>
    <t>VL53L0X</t>
  </si>
  <si>
    <t>Helmet-worn check</t>
  </si>
  <si>
    <t>Reed switch + magnet</t>
  </si>
  <si>
    <t>Chin strap check</t>
  </si>
  <si>
    <t>https://www.duino.lk/product/reed-sensor-28mm-magnetic-switch-28mm-normally-open/</t>
  </si>
  <si>
    <t>OP0062 Optimus Eye Blink Sensor — Tronic (in stock)</t>
  </si>
  <si>
    <t>Sleep detection; no matching Duino listing found.</t>
  </si>
  <si>
    <t>MQ-3B — Duino MQ-3 alternative (in stock; not exact B model)</t>
  </si>
  <si>
    <t>Alcohol check; listed Duino MQ-3 module is a model alternative, confirm suitability.</t>
  </si>
  <si>
    <t>NEO-6M GPS + antenna — Duino</t>
  </si>
  <si>
    <t xml:space="preserve">to get the current location. </t>
  </si>
  <si>
    <t>SIM800L GPRS GSM Module Kit Core Board With Antenna</t>
  </si>
  <si>
    <t>Emergency alerts; location send to the contact.</t>
  </si>
  <si>
    <t>microSD module</t>
  </si>
  <si>
    <t>Black box log</t>
  </si>
  <si>
    <t>32GB microSD card — Duino</t>
  </si>
  <si>
    <t>Black box log storage; matches requested 16–32 GB card.</t>
  </si>
  <si>
    <t>TTP 223 capacitive touch sensor</t>
  </si>
  <si>
    <t>Manual emergency alert, sos stop</t>
  </si>
  <si>
    <t>https://www.duino.lk/product/touch-key-touching-capacitive-switches-ttp223/</t>
  </si>
  <si>
    <t>Active buzzer</t>
  </si>
  <si>
    <t>Sound warning</t>
  </si>
  <si>
    <t>https://www.duino.lk/product/24vdc-active-buzzer-alarm-sounder-speaker/</t>
  </si>
  <si>
    <t>Vibration motor</t>
  </si>
  <si>
    <t>Haptic warning</t>
  </si>
  <si>
    <t>LED (20-piece pack, LKR 80 per pack)</t>
  </si>
  <si>
    <t>Status and warning lights; 3 needed, buy 1 pack</t>
  </si>
  <si>
    <t>LiPo battery (3.7V 1000mAh pricing example)</t>
  </si>
  <si>
    <t>Powers the helmet</t>
  </si>
  <si>
    <t>LiPo charger (TP4056 USB-C, single cell)</t>
  </si>
  <si>
    <t>Charges the battery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</si>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</sst>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Arial"/>
    </font>
    <font>
      <b/>
      <sz val="16.0"/>
      <color theme="1"/>
      <name val="Calibri"/>
    </font>
    <font>
      <b/>
      <sz val="11.0"/>
      <color rgb="FFFFFFFF"/>
      <name val="Arial"/>
    </font>
    <font>
      <b/>
      <u/>
      <sz val="11.0"/>
      <color theme="0"/>
      <name val="Calibri"/>
    </font>
    <font>
      <sz val="10.0"/>
      <color theme="1"/>
      <name val="Arial"/>
    </font>
    <font>
      <u/>
      <sz val="10.0"/>
      <color rgb="FF0563C1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1.0"/>
      <color rgb="FFFFFFFF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24476B"/>
        <bgColor rgb="FF24476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4" xfId="0" applyAlignment="1" applyBorder="1" applyFont="1" applyNumberFormat="1">
      <alignment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7" numFmtId="4" xfId="0" applyAlignment="1" applyBorder="1" applyFont="1" applyNumberForma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2" fillId="3" fontId="9" numFmtId="0" xfId="0" applyBorder="1" applyFill="1" applyFont="1"/>
    <xf borderId="0" fillId="0" fontId="10" numFmtId="4" xfId="0" applyFont="1" applyNumberForma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uino.lk/link" TargetMode="External"/><Relationship Id="rId2" Type="http://schemas.openxmlformats.org/officeDocument/2006/relationships/hyperlink" Target="https://www.duino.lk/product/reed-sensor-28mm-magnetic-switch-28mm-normally-open/" TargetMode="External"/><Relationship Id="rId3" Type="http://schemas.openxmlformats.org/officeDocument/2006/relationships/hyperlink" Target="https://www.duino.lk/product/touch-key-touching-capacitive-switches-ttp223/" TargetMode="External"/><Relationship Id="rId4" Type="http://schemas.openxmlformats.org/officeDocument/2006/relationships/hyperlink" Target="https://www.duino.lk/product/24vdc-active-buzzer-alarm-sounder-speaker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55.0"/>
    <col customWidth="1" min="3" max="4" width="42.0"/>
    <col customWidth="1" min="5" max="7" width="18.0"/>
    <col customWidth="1" min="8" max="26" width="8.71"/>
  </cols>
  <sheetData>
    <row r="1" ht="14.25" customHeight="1">
      <c r="A1" s="1" t="s">
        <v>0</v>
      </c>
      <c r="C1" s="2" t="s">
        <v>1</v>
      </c>
    </row>
    <row r="2" ht="14.25" customHeight="1"/>
    <row r="3" ht="14.25" customHeight="1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</row>
    <row r="4" ht="61.5" customHeight="1">
      <c r="A4" s="5">
        <v>1.0</v>
      </c>
      <c r="B4" s="6" t="s">
        <v>9</v>
      </c>
      <c r="C4" s="7" t="s">
        <v>10</v>
      </c>
      <c r="D4" s="8" t="str">
        <f>HYPERLINK("https://www.duino.lk/product/esp32-s3-n16r8-devkitc-1-development-board/","https://www.duino.lk/product/esp32-s3-n16r8-devkitc-1-development-board/")</f>
        <v>https://www.duino.lk/product/esp32-s3-n16r8-devkitc-1-development-board/</v>
      </c>
      <c r="E4" s="9">
        <v>1990.0</v>
      </c>
      <c r="F4" s="5">
        <v>1.0</v>
      </c>
      <c r="G4" s="9">
        <f t="shared" ref="G4:G5" si="1">IF(ISNUMBER(SEARCH("out of stock",B4)),"non available",IF(ISNUMBER(E4),E4*F4,"non available"))</f>
        <v>1990</v>
      </c>
    </row>
    <row r="5" ht="72.0" customHeight="1">
      <c r="A5" s="5">
        <v>2.0</v>
      </c>
      <c r="B5" s="6" t="s">
        <v>11</v>
      </c>
      <c r="C5" s="7" t="s">
        <v>12</v>
      </c>
      <c r="D5" s="8" t="str">
        <f>HYPERLINK("https://www.duino.lk/product/xiao-esp32s3-sense/","https://www.duino.lk/product/xiao-esp32s3-sense/")</f>
        <v>https://www.duino.lk/product/xiao-esp32s3-sense/</v>
      </c>
      <c r="E5" s="9">
        <v>6950.0</v>
      </c>
      <c r="F5" s="5">
        <v>2.0</v>
      </c>
      <c r="G5" s="9">
        <f t="shared" si="1"/>
        <v>13900</v>
      </c>
    </row>
    <row r="6" ht="61.5" customHeight="1">
      <c r="A6" s="5">
        <v>3.0</v>
      </c>
      <c r="B6" s="7" t="s">
        <v>13</v>
      </c>
      <c r="C6" s="7" t="s">
        <v>14</v>
      </c>
      <c r="D6" s="8" t="str">
        <f>HYPERLINK("https://www.duino.lk/product/accelerometer-module-mpu-6050-6dof-3-axis/","https://www.duino.lk/product/accelerometer-module-mpu-6050-6dof-3-axis/")</f>
        <v>https://www.duino.lk/product/accelerometer-module-mpu-6050-6dof-3-axis/</v>
      </c>
      <c r="E6" s="9">
        <v>720.0</v>
      </c>
      <c r="F6" s="5">
        <v>1.0</v>
      </c>
      <c r="G6" s="9">
        <f t="shared" ref="G6:G10" si="2">IF(ISNUMBER(E6),E6*F6,"non available")</f>
        <v>720</v>
      </c>
    </row>
    <row r="7" ht="61.5" customHeight="1">
      <c r="A7" s="5">
        <v>5.0</v>
      </c>
      <c r="B7" s="7" t="s">
        <v>15</v>
      </c>
      <c r="C7" s="7" t="s">
        <v>16</v>
      </c>
      <c r="D7" s="8" t="str">
        <f>HYPERLINK("https://www.duino.lk/product/gy-530-vl53l0x-time-of-flight-tof-laser-940nm/","https://www.duino.lk/product/gy-530-vl53l0x-time-of-flight-tof-laser-940nm/")</f>
        <v>https://www.duino.lk/product/gy-530-vl53l0x-time-of-flight-tof-laser-940nm/</v>
      </c>
      <c r="E7" s="9">
        <v>890.0</v>
      </c>
      <c r="F7" s="5">
        <v>1.0</v>
      </c>
      <c r="G7" s="9">
        <f t="shared" si="2"/>
        <v>890</v>
      </c>
    </row>
    <row r="8" ht="61.5" customHeight="1">
      <c r="A8" s="5">
        <v>6.0</v>
      </c>
      <c r="B8" s="7" t="s">
        <v>17</v>
      </c>
      <c r="C8" s="7" t="s">
        <v>18</v>
      </c>
      <c r="D8" s="10" t="s">
        <v>19</v>
      </c>
      <c r="E8" s="9">
        <v>190.0</v>
      </c>
      <c r="F8" s="5">
        <v>1.0</v>
      </c>
      <c r="G8" s="9">
        <f t="shared" si="2"/>
        <v>190</v>
      </c>
    </row>
    <row r="9" ht="61.5" customHeight="1">
      <c r="A9" s="5">
        <v>7.0</v>
      </c>
      <c r="B9" s="7" t="s">
        <v>20</v>
      </c>
      <c r="C9" s="7" t="s">
        <v>21</v>
      </c>
      <c r="D9" s="8" t="str">
        <f>HYPERLINK("https://tronic.lk/product/optimus-eye-blink-sensor","https://tronic.lk/product/optimus-eye-blink-sensor")</f>
        <v>https://tronic.lk/product/optimus-eye-blink-sensor</v>
      </c>
      <c r="E9" s="9">
        <v>450.0</v>
      </c>
      <c r="F9" s="5">
        <v>1.0</v>
      </c>
      <c r="G9" s="9">
        <f t="shared" si="2"/>
        <v>450</v>
      </c>
    </row>
    <row r="10" ht="61.5" customHeight="1">
      <c r="A10" s="5">
        <v>8.0</v>
      </c>
      <c r="B10" s="7" t="s">
        <v>22</v>
      </c>
      <c r="C10" s="7" t="s">
        <v>23</v>
      </c>
      <c r="D10" s="8" t="str">
        <f>HYPERLINK("https://www.duino.lk/product/mq-3-gas-sensor-module/","https://www.duino.lk/product/mq-3-gas-sensor-module/")</f>
        <v>https://www.duino.lk/product/mq-3-gas-sensor-module/</v>
      </c>
      <c r="E10" s="9">
        <v>440.0</v>
      </c>
      <c r="F10" s="5">
        <v>1.0</v>
      </c>
      <c r="G10" s="9">
        <f t="shared" si="2"/>
        <v>440</v>
      </c>
    </row>
    <row r="11" ht="61.5" customHeight="1">
      <c r="A11" s="5">
        <v>9.0</v>
      </c>
      <c r="B11" s="7" t="s">
        <v>24</v>
      </c>
      <c r="C11" s="6" t="s">
        <v>25</v>
      </c>
      <c r="D11" s="8" t="str">
        <f>HYPERLINK("https://www.duino.lk/product/neo6mv2-new-neo-6m-gps-module/","https://www.duino.lk/product/neo6mv2-new-neo-6m-gps-module/")</f>
        <v>https://www.duino.lk/product/neo6mv2-new-neo-6m-gps-module/</v>
      </c>
      <c r="E11" s="9">
        <v>1485.0</v>
      </c>
      <c r="F11" s="5">
        <v>1.0</v>
      </c>
      <c r="G11" s="9">
        <f t="shared" ref="G11:G12" si="3">IF(ISNUMBER(SEARCH("out of stock",B11)),"non available",IF(ISNUMBER(E11),E11*F11,"non available"))</f>
        <v>1485</v>
      </c>
    </row>
    <row r="12" ht="61.5" customHeight="1">
      <c r="A12" s="5">
        <v>10.0</v>
      </c>
      <c r="B12" s="6" t="s">
        <v>26</v>
      </c>
      <c r="C12" s="6" t="s">
        <v>27</v>
      </c>
      <c r="D12" s="8" t="str">
        <f>HYPERLINK("https://www.duino.lk/product/sim800l-gprs-gsm-module-with-antenna/","https://www.duino.lk/product/sim800l-gprs-gsm-module-with-antenna/")</f>
        <v>https://www.duino.lk/product/sim800l-gprs-gsm-module-with-antenna/</v>
      </c>
      <c r="E12" s="11">
        <v>1790.0</v>
      </c>
      <c r="F12" s="5">
        <v>1.0</v>
      </c>
      <c r="G12" s="9">
        <f t="shared" si="3"/>
        <v>1790</v>
      </c>
    </row>
    <row r="13" ht="61.5" customHeight="1">
      <c r="A13" s="5">
        <v>11.0</v>
      </c>
      <c r="B13" s="7" t="s">
        <v>28</v>
      </c>
      <c r="C13" s="7" t="s">
        <v>29</v>
      </c>
      <c r="D13" s="8" t="str">
        <f>HYPERLINK("https://www.duino.lk/product/micro-sd-tf-card-reader-module/","https://www.duino.lk/product/micro-sd-tf-card-reader-module/")</f>
        <v>https://www.duino.lk/product/micro-sd-tf-card-reader-module/</v>
      </c>
      <c r="E13" s="9">
        <v>170.0</v>
      </c>
      <c r="F13" s="5">
        <v>1.0</v>
      </c>
      <c r="G13" s="9">
        <f>IF(ISNUMBER(E13),E13*F13,"non available")</f>
        <v>170</v>
      </c>
    </row>
    <row r="14" ht="61.5" customHeight="1">
      <c r="A14" s="5">
        <v>12.0</v>
      </c>
      <c r="B14" s="7" t="s">
        <v>30</v>
      </c>
      <c r="C14" s="7" t="s">
        <v>31</v>
      </c>
      <c r="D14" s="8" t="str">
        <f>HYPERLINK("https://www.duino.lk/product/32gb-sandisk-a1-class-10-memory-card/","https://www.duino.lk/product/32gb-sandisk-a1-class-10-memory-card/")</f>
        <v>https://www.duino.lk/product/32gb-sandisk-a1-class-10-memory-card/</v>
      </c>
      <c r="E14" s="9">
        <v>2490.0</v>
      </c>
      <c r="F14" s="5">
        <v>1.0</v>
      </c>
      <c r="G14" s="9">
        <f>IF(ISNUMBER(SEARCH("out of stock",B14)),"non available",IF(ISNUMBER(E14),E14*F14,"non available"))</f>
        <v>2490</v>
      </c>
    </row>
    <row r="15" ht="61.5" customHeight="1">
      <c r="A15" s="5">
        <v>13.0</v>
      </c>
      <c r="B15" s="6" t="s">
        <v>32</v>
      </c>
      <c r="C15" s="6" t="s">
        <v>33</v>
      </c>
      <c r="D15" s="10" t="s">
        <v>34</v>
      </c>
      <c r="E15" s="9">
        <v>65.0</v>
      </c>
      <c r="F15" s="12">
        <v>2.0</v>
      </c>
      <c r="G15" s="9">
        <f t="shared" ref="G15:G17" si="4">IF(ISNUMBER(E15),E15*F15,"non available")</f>
        <v>130</v>
      </c>
    </row>
    <row r="16" ht="61.5" customHeight="1">
      <c r="A16" s="5">
        <v>15.0</v>
      </c>
      <c r="B16" s="7" t="s">
        <v>35</v>
      </c>
      <c r="C16" s="7" t="s">
        <v>36</v>
      </c>
      <c r="D16" s="10" t="s">
        <v>37</v>
      </c>
      <c r="E16" s="11">
        <v>60.0</v>
      </c>
      <c r="F16" s="5">
        <v>1.0</v>
      </c>
      <c r="G16" s="9">
        <f t="shared" si="4"/>
        <v>60</v>
      </c>
    </row>
    <row r="17" ht="61.5" customHeight="1">
      <c r="A17" s="5">
        <v>16.0</v>
      </c>
      <c r="B17" s="7" t="s">
        <v>38</v>
      </c>
      <c r="C17" s="7" t="s">
        <v>39</v>
      </c>
      <c r="D17" s="8" t="str">
        <f>HYPERLINK("https://www.duino.lk/product/5v-vibrating-vibration-motor/","https://www.duino.lk/product/5v-vibrating-vibration-motor/")</f>
        <v>https://www.duino.lk/product/5v-vibrating-vibration-motor/</v>
      </c>
      <c r="E17" s="9">
        <v>160.0</v>
      </c>
      <c r="F17" s="5">
        <v>1.0</v>
      </c>
      <c r="G17" s="9">
        <f t="shared" si="4"/>
        <v>160</v>
      </c>
    </row>
    <row r="18" ht="61.5" customHeight="1">
      <c r="A18" s="5">
        <v>17.0</v>
      </c>
      <c r="B18" s="7" t="s">
        <v>40</v>
      </c>
      <c r="C18" s="7" t="s">
        <v>41</v>
      </c>
      <c r="D18" s="8" t="str">
        <f>HYPERLINK("https://www.duino.lk/product/led-defused-5mm-3v-20ma/","https://www.duino.lk/product/led-defused-5mm-3v-20ma/")</f>
        <v>https://www.duino.lk/product/led-defused-5mm-3v-20ma/</v>
      </c>
      <c r="E18" s="9">
        <v>80.0</v>
      </c>
      <c r="F18" s="5">
        <v>3.0</v>
      </c>
      <c r="G18" s="9">
        <f>ROUNDUP(F18/20,0)*E18</f>
        <v>80</v>
      </c>
    </row>
    <row r="19" ht="61.5" customHeight="1">
      <c r="A19" s="5">
        <v>18.0</v>
      </c>
      <c r="B19" s="7" t="s">
        <v>42</v>
      </c>
      <c r="C19" s="7" t="s">
        <v>43</v>
      </c>
      <c r="D19" s="8" t="str">
        <f>HYPERLINK("https://www.duino.lk/product/1000mah-3-7v-803040-li-po-battery/","https://www.duino.lk/product/1000mah-3-7v-803040-li-po-battery/")</f>
        <v>https://www.duino.lk/product/1000mah-3-7v-803040-li-po-battery/</v>
      </c>
      <c r="E19" s="9">
        <v>950.0</v>
      </c>
      <c r="F19" s="5">
        <v>1.0</v>
      </c>
      <c r="G19" s="9">
        <f t="shared" ref="G19:G20" si="5">IF(ISNUMBER(E19),E19*F19,"non available")</f>
        <v>950</v>
      </c>
    </row>
    <row r="20" ht="61.5" customHeight="1">
      <c r="A20" s="5">
        <v>19.0</v>
      </c>
      <c r="B20" s="7" t="s">
        <v>44</v>
      </c>
      <c r="C20" s="7" t="s">
        <v>45</v>
      </c>
      <c r="D20" s="8" t="str">
        <f>HYPERLINK("https://www.duino.lk/product/tp4056-type-c-5v-1a-18650-charger-module/","https://www.duino.lk/product/tp4056-type-c-5v-1a-18650-charger-module/")</f>
        <v>https://www.duino.lk/product/tp4056-type-c-5v-1a-18650-charger-module/</v>
      </c>
      <c r="E20" s="9">
        <v>100.0</v>
      </c>
      <c r="F20" s="5">
        <v>1.0</v>
      </c>
      <c r="G20" s="9">
        <f t="shared" si="5"/>
        <v>100</v>
      </c>
    </row>
    <row r="21" ht="14.25" customHeight="1">
      <c r="F21" s="13" t="s">
        <v>46</v>
      </c>
      <c r="G21" s="14">
        <f>SUM(G4:G20)</f>
        <v>25995</v>
      </c>
    </row>
    <row r="22" ht="30.0" customHeight="1">
      <c r="B22" s="15"/>
    </row>
    <row r="23" ht="30.0" customHeight="1">
      <c r="B23" s="15"/>
    </row>
    <row r="24" ht="30.0" customHeight="1">
      <c r="B24" s="15"/>
    </row>
    <row r="25" ht="30.0" customHeight="1">
      <c r="B25" s="15"/>
    </row>
    <row r="26" ht="45.0" customHeight="1">
      <c r="B26" s="16"/>
      <c r="C26" s="1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B22:G22"/>
    <mergeCell ref="B23:G23"/>
    <mergeCell ref="B24:G24"/>
    <mergeCell ref="B25:G25"/>
  </mergeCells>
  <hyperlinks>
    <hyperlink r:id="rId1" ref="D3"/>
    <hyperlink r:id="rId2" ref="D8"/>
    <hyperlink r:id="rId3" ref="D15"/>
    <hyperlink r:id="rId4" ref="D16"/>
  </hyperlinks>
  <printOptions/>
  <pageMargins bottom="0.75" footer="0.0" header="0.0" left="0.7" right="0.7" top="0.75"/>
  <pageSetup orientation="landscape"/>
  <drawing r:id="rId5"/>
</worksheet>
</file>